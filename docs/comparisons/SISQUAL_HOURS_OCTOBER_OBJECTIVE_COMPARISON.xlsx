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ummary" sheetId="1" state="visible" r:id="rId1"/>
    <sheet name="Coverage" sheetId="2" state="visible" r:id="rId2"/>
    <sheet name="Assignment Quality" sheetId="3" state="visible" r:id="rId3"/>
    <sheet name="Notes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<sst xmlns="http://schemas.openxmlformats.org/spreadsheetml/2006/main" count="128" uniqueCount="128">
  <si>
    <t xml:space="preserve">Sisqual Hour Objectives Comparison</t>
  </si>
  <si>
    <t xml:space="preserve">Updated with ILP_OCTOBER_OBJ_1_4_5_WEIGHT10.</t>
  </si>
  <si>
    <t>Run</t>
  </si>
  <si>
    <t>Weights</t>
  </si>
  <si>
    <t xml:space="preserve">Coverage %</t>
  </si>
  <si>
    <t>Underfilled</t>
  </si>
  <si>
    <t>Gap</t>
  </si>
  <si>
    <t xml:space="preserve">Max Shortage</t>
  </si>
  <si>
    <t>Overstaff</t>
  </si>
  <si>
    <t xml:space="preserve">DO Worked</t>
  </si>
  <si>
    <t xml:space="preserve">DO Preserve %</t>
  </si>
  <si>
    <t xml:space="preserve">Skill Penalty</t>
  </si>
  <si>
    <t xml:space="preserve">Team Switches</t>
  </si>
  <si>
    <t xml:space="preserve">Fragmented Days</t>
  </si>
  <si>
    <t xml:space="preserve">Primary Team %</t>
  </si>
  <si>
    <t xml:space="preserve">Non-primary Hours</t>
  </si>
  <si>
    <t xml:space="preserve">Runtime (s)</t>
  </si>
  <si>
    <t>OBJ1</t>
  </si>
  <si>
    <t xml:space="preserve">100 / 0 / 0</t>
  </si>
  <si>
    <t xml:space="preserve">OBJ1 + OBJ4</t>
  </si>
  <si>
    <t xml:space="preserve">100 / 10 / 0</t>
  </si>
  <si>
    <t xml:space="preserve">OBJ1 + OBJ5</t>
  </si>
  <si>
    <t xml:space="preserve">100 / 0 / 10</t>
  </si>
  <si>
    <t xml:space="preserve">OBJ1 + OBJ4 + OBJ5</t>
  </si>
  <si>
    <t xml:space="preserve">1000 / 10 / 100 (saved run)</t>
  </si>
  <si>
    <t xml:space="preserve">Coverage Outcomes by Run</t>
  </si>
  <si>
    <t xml:space="preserve">Checkout %</t>
  </si>
  <si>
    <t xml:space="preserve">Management %</t>
  </si>
  <si>
    <t xml:space="preserve">Employees %</t>
  </si>
  <si>
    <t xml:space="preserve">Storage %</t>
  </si>
  <si>
    <t xml:space="preserve">OBJ1 + OBJ4 + OBJ5 (obj5=10)</t>
  </si>
  <si>
    <t xml:space="preserve">1000 / 10 / 10</t>
  </si>
  <si>
    <t xml:space="preserve">OBJ1 top underfilled periods</t>
  </si>
  <si>
    <t>Date</t>
  </si>
  <si>
    <t>Team</t>
  </si>
  <si>
    <t xml:space="preserve">Work Period</t>
  </si>
  <si>
    <t>Shortage</t>
  </si>
  <si>
    <t>Label</t>
  </si>
  <si>
    <t>Start</t>
  </si>
  <si>
    <t>End</t>
  </si>
  <si>
    <t>2025-10-05</t>
  </si>
  <si>
    <t>Management</t>
  </si>
  <si>
    <t>MANAGEMENT_1900_2100</t>
  </si>
  <si>
    <t xml:space="preserve">Management 19:00-21:00</t>
  </si>
  <si>
    <t>19:00</t>
  </si>
  <si>
    <t>21:00</t>
  </si>
  <si>
    <t>2025-10-12</t>
  </si>
  <si>
    <t>2025-10-16</t>
  </si>
  <si>
    <t>Checkout</t>
  </si>
  <si>
    <t>CHECKOUT_1000_1100</t>
  </si>
  <si>
    <t xml:space="preserve">Checkout 10:00-11:00</t>
  </si>
  <si>
    <t>10:00</t>
  </si>
  <si>
    <t>11:00</t>
  </si>
  <si>
    <t>CHECKOUT_1100_2100</t>
  </si>
  <si>
    <t xml:space="preserve">Checkout 11:00-21:00</t>
  </si>
  <si>
    <t>2025-10-19</t>
  </si>
  <si>
    <t xml:space="preserve">OBJ1 + OBJ4 top underfilled periods</t>
  </si>
  <si>
    <t>2025-10-27</t>
  </si>
  <si>
    <t>Storage</t>
  </si>
  <si>
    <t>STORAGE_0830_1530</t>
  </si>
  <si>
    <t xml:space="preserve">Storage 08:30-15:30 (ALM warehouse shift)</t>
  </si>
  <si>
    <t>08:30</t>
  </si>
  <si>
    <t>15:30</t>
  </si>
  <si>
    <t>2025-10-28</t>
  </si>
  <si>
    <t>2025-10-29</t>
  </si>
  <si>
    <t>2025-10-30</t>
  </si>
  <si>
    <t>2025-10-31</t>
  </si>
  <si>
    <t xml:space="preserve">OBJ1 + OBJ5 top underfilled periods</t>
  </si>
  <si>
    <t xml:space="preserve">OBJ1 + OBJ4 + OBJ5 top underfilled periods</t>
  </si>
  <si>
    <t>2025-10-18</t>
  </si>
  <si>
    <t>Employees</t>
  </si>
  <si>
    <t>EMPLOYEES_1300_1400</t>
  </si>
  <si>
    <t xml:space="preserve">Employees 13:00-14:00</t>
  </si>
  <si>
    <t>13:00</t>
  </si>
  <si>
    <t>14:00</t>
  </si>
  <si>
    <t>2025-10-25</t>
  </si>
  <si>
    <t>EMPLOYEES_1100_1200</t>
  </si>
  <si>
    <t xml:space="preserve">Employees 11:00-12:00</t>
  </si>
  <si>
    <t>12:00</t>
  </si>
  <si>
    <t>EMPLOYEES_1200_1300</t>
  </si>
  <si>
    <t xml:space="preserve">Employees 12:00-13:00</t>
  </si>
  <si>
    <t xml:space="preserve">OBJ1 + OBJ4 + OBJ5 (obj5=10) top underfilled periods</t>
  </si>
  <si>
    <t xml:space="preserve">Assignment Quality and Tradeoffs</t>
  </si>
  <si>
    <t xml:space="preserve">Duration %</t>
  </si>
  <si>
    <t xml:space="preserve">Demanded Hours %</t>
  </si>
  <si>
    <t xml:space="preserve">Delta vs OBJ1 baseline</t>
  </si>
  <si>
    <t xml:space="preserve">Coverage Δ</t>
  </si>
  <si>
    <t xml:space="preserve">Gap Δ</t>
  </si>
  <si>
    <t xml:space="preserve">Skill Penalty Δ</t>
  </si>
  <si>
    <t xml:space="preserve">Switches Δ</t>
  </si>
  <si>
    <t xml:space="preserve">Non-primary Hours Δ</t>
  </si>
  <si>
    <t xml:space="preserve">DO Worked Δ</t>
  </si>
  <si>
    <t xml:space="preserve">Primary Team % Δ</t>
  </si>
  <si>
    <t xml:space="preserve">Duration % Δ</t>
  </si>
  <si>
    <t xml:space="preserve">Demanded Hours % Δ</t>
  </si>
  <si>
    <t xml:space="preserve">Runtime Δ (s)</t>
  </si>
  <si>
    <t xml:space="preserve">Run Metadata and Interpretation Notes</t>
  </si>
  <si>
    <t xml:space="preserve">Weights Used</t>
  </si>
  <si>
    <t xml:space="preserve">Stored Problem Path</t>
  </si>
  <si>
    <t>Timestamp</t>
  </si>
  <si>
    <t xml:space="preserve">CSV Export Path</t>
  </si>
  <si>
    <t>Comment</t>
  </si>
  <si>
    <t>data/problems/SISQUAL_HOURS_OCTOBER_COMPLETE_OBJ1/problem.json</t>
  </si>
  <si>
    <t xml:space="preserve">2026-04-20 11:08:14.950000</t>
  </si>
  <si>
    <t>/shared_tmp/obj_compare/ILP_OCTOBER_OBJ_1.csv</t>
  </si>
  <si>
    <t xml:space="preserve">Baseline rerun with only Objective 1 active.</t>
  </si>
  <si>
    <t>data/problems/SISQUAL_HOURS_OCTOBER_COMPLETE_OBJ1_4/problem.json</t>
  </si>
  <si>
    <t xml:space="preserve">2026-04-20 11:07:43.154000</t>
  </si>
  <si>
    <t>/shared_tmp/obj_compare/ILP_OCTOBER_OBJ_1_4.csv</t>
  </si>
  <si>
    <t xml:space="preserve">Objective 4 active; day swapping allowed.</t>
  </si>
  <si>
    <t>data/problems/SISQUAL_HOURS_OCTOBER_COMPLETE_OBJ1_5/problem.json</t>
  </si>
  <si>
    <t xml:space="preserve">2026-04-20 11:07:51.568000</t>
  </si>
  <si>
    <t>/shared_tmp/obj_compare/ILP_OCTOBER_OBJ_1_5.csv</t>
  </si>
  <si>
    <t xml:space="preserve">Objective 5 active; day swapping disabled.</t>
  </si>
  <si>
    <t>data/problems/SISQUAL_BFARIAS_COMPLETE/problem.json</t>
  </si>
  <si>
    <t xml:space="preserve">2026-04-20 11:03:49.274000</t>
  </si>
  <si>
    <t>/shared_tmp/obj_compare/ILP_OCTOBER_OBJ_1_4_5.csv</t>
  </si>
  <si>
    <t xml:space="preserve">Older full-bundle run using SISQUAL_BFARIAS_COMPLETE/problem.json.</t>
  </si>
  <si>
    <t>data/problems/SISQUAL_BFARIAS_COMPLETE_OBJ5_10/problem.json</t>
  </si>
  <si>
    <t xml:space="preserve">2026-04-20 11:26:14.426000</t>
  </si>
  <si>
    <t>/shared_tmp/obj_compare/ILP_OCTOBER_OBJ_1_4_5_WEIGHT10.csv</t>
  </si>
  <si>
    <t xml:space="preserve">New full-bundle run using SISQUAL_BFARIAS_COMPLETE_OBJ5_10/problem.json with obj5 reduced to 10.</t>
  </si>
  <si>
    <t xml:space="preserve">Recommended reading</t>
  </si>
  <si>
    <t xml:space="preserve">Best pure coverage in current saved runs</t>
  </si>
  <si>
    <t xml:space="preserve">Best pure skill-priority in current saved runs</t>
  </si>
  <si>
    <t xml:space="preserve">Compare these two directly</t>
  </si>
  <si>
    <t xml:space="preserve">OBJ1 + OBJ4 + OBJ5 vs OBJ1 + OBJ4 + OBJ5 (obj5=10)</t>
  </si>
  <si>
    <t xml:space="preserve">Baseline reference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</si>
</sst>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&quot;%&quot;"/>
    <numFmt numFmtId="165" formatCode="0.000"/>
    <numFmt numFmtId="166" formatCode="+0.00&quot;%&quot;;-0.00&quot;%&quot;"/>
    <numFmt numFmtId="167" formatCode="+0.00;-0.00"/>
  </numFmts>
  <fonts count="8">
    <font>
      <sz val="11.000000"/>
      <color theme="1"/>
      <name val="Calibri"/>
      <scheme val="minor"/>
    </font>
    <font>
      <b/>
      <sz val="18.000000"/>
      <color rgb="FF183153"/>
    </font>
    <font>
      <sz val="11.000000"/>
      <color rgb="FF667085"/>
    </font>
    <font>
      <b/>
      <color indexed="65"/>
    </font>
    <font>
      <color rgb="FFD95C5C"/>
    </font>
    <font>
      <b/>
      <color rgb="FF2FA66A"/>
    </font>
    <font>
      <b/>
      <sz val="16.000000"/>
      <color rgb="FF183153"/>
    </font>
    <font>
      <b/>
      <color rgb="FF1F2937"/>
    </font>
  </fonts>
  <fills count="7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FCEAEA"/>
      </patternFill>
    </fill>
    <fill>
      <patternFill patternType="solid">
        <fgColor rgb="FFEAF7F0"/>
      </patternFill>
    </fill>
    <fill>
      <patternFill patternType="solid">
        <fgColor rgb="FFF6F8FB"/>
      </patternFill>
    </fill>
    <fill>
      <patternFill patternType="solid">
        <fgColor rgb="FF2F6BFF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 quotePrefix="0" pivotButton="0"/>
    <xf fontId="1" fillId="0" borderId="0" numFmtId="0" xfId="0" applyFont="1" applyAlignment="1" quotePrefix="0" pivotButton="0">
      <alignment horizontal="center"/>
    </xf>
    <xf fontId="2" fillId="0" borderId="0" numFmtId="0" xfId="0" applyFont="1" applyAlignment="1" quotePrefix="0" pivotButton="0">
      <alignment horizontal="center"/>
    </xf>
    <xf fontId="3" fillId="2" borderId="1" numFmtId="0" xfId="0" applyFont="1" applyFill="1" applyBorder="1" applyAlignment="1" quotePrefix="0" pivotButton="0">
      <alignment vertical="center" wrapText="1"/>
    </xf>
    <xf fontId="0" fillId="0" borderId="1" numFmtId="0" xfId="0" applyBorder="1" applyAlignment="1" quotePrefix="0" pivotButton="0">
      <alignment vertical="center" wrapText="1"/>
    </xf>
    <xf fontId="4" fillId="3" borderId="1" numFmtId="164" xfId="0" applyNumberFormat="1" applyFont="1" applyFill="1" applyBorder="1" applyAlignment="1" quotePrefix="0" pivotButton="0">
      <alignment vertical="center" wrapText="1"/>
    </xf>
    <xf fontId="4" fillId="3" borderId="1" numFmtId="0" xfId="0" applyFont="1" applyFill="1" applyBorder="1" applyAlignment="1" quotePrefix="0" pivotButton="0">
      <alignment vertical="center" wrapText="1"/>
    </xf>
    <xf fontId="5" fillId="4" borderId="1" numFmtId="0" xfId="0" applyFont="1" applyFill="1" applyBorder="1" applyAlignment="1" quotePrefix="0" pivotButton="0">
      <alignment vertical="center" wrapText="1"/>
    </xf>
    <xf fontId="5" fillId="4" borderId="1" numFmtId="164" xfId="0" applyNumberFormat="1" applyFont="1" applyFill="1" applyBorder="1" applyAlignment="1" quotePrefix="0" pivotButton="0">
      <alignment vertical="center" wrapText="1"/>
    </xf>
    <xf fontId="0" fillId="0" borderId="1" numFmtId="164" xfId="0" applyNumberFormat="1" applyBorder="1" applyAlignment="1" quotePrefix="0" pivotButton="0">
      <alignment vertical="center" wrapText="1"/>
    </xf>
    <xf fontId="5" fillId="4" borderId="1" numFmtId="165" xfId="0" applyNumberFormat="1" applyFont="1" applyFill="1" applyBorder="1" applyAlignment="1" quotePrefix="0" pivotButton="0">
      <alignment vertical="center" wrapText="1"/>
    </xf>
    <xf fontId="0" fillId="5" borderId="1" numFmtId="0" xfId="0" applyFill="1" applyBorder="1" applyAlignment="1" quotePrefix="0" pivotButton="0">
      <alignment vertical="center" wrapText="1"/>
    </xf>
    <xf fontId="0" fillId="5" borderId="1" numFmtId="164" xfId="0" applyNumberFormat="1" applyFill="1" applyBorder="1" applyAlignment="1" quotePrefix="0" pivotButton="0">
      <alignment vertical="center" wrapText="1"/>
    </xf>
    <xf fontId="0" fillId="5" borderId="1" numFmtId="165" xfId="0" applyNumberFormat="1" applyFill="1" applyBorder="1" applyAlignment="1" quotePrefix="0" pivotButton="0">
      <alignment vertical="center" wrapText="1"/>
    </xf>
    <xf fontId="0" fillId="0" borderId="1" numFmtId="165" xfId="0" applyNumberFormat="1" applyBorder="1" applyAlignment="1" quotePrefix="0" pivotButton="0">
      <alignment vertical="center" wrapText="1"/>
    </xf>
    <xf fontId="4" fillId="3" borderId="1" numFmtId="165" xfId="0" applyNumberFormat="1" applyFont="1" applyFill="1" applyBorder="1" applyAlignment="1" quotePrefix="0" pivotButton="0">
      <alignment vertical="center" wrapText="1"/>
    </xf>
    <xf fontId="6" fillId="0" borderId="0" numFmtId="0" xfId="0" applyFont="1" quotePrefix="0" pivotButton="0"/>
    <xf fontId="3" fillId="6" borderId="1" numFmtId="0" xfId="0" applyFont="1" applyFill="1" applyBorder="1" quotePrefix="0" pivotButton="0"/>
    <xf fontId="3" fillId="6" borderId="0" numFmtId="0" xfId="0" applyFont="1" applyFill="1" quotePrefix="0" pivotButton="0"/>
    <xf fontId="0" fillId="5" borderId="1" numFmtId="166" xfId="0" applyNumberFormat="1" applyFill="1" applyBorder="1" applyAlignment="1" quotePrefix="0" pivotButton="0">
      <alignment vertical="center" wrapText="1"/>
    </xf>
    <xf fontId="0" fillId="5" borderId="1" numFmtId="167" xfId="0" applyNumberFormat="1" applyFill="1" applyBorder="1" applyAlignment="1" quotePrefix="0" pivotButton="0">
      <alignment vertical="center" wrapText="1"/>
    </xf>
    <xf fontId="0" fillId="0" borderId="1" numFmtId="166" xfId="0" applyNumberFormat="1" applyBorder="1" applyAlignment="1" quotePrefix="0" pivotButton="0">
      <alignment vertical="center" wrapText="1"/>
    </xf>
    <xf fontId="0" fillId="0" borderId="1" numFmtId="167" xfId="0" applyNumberFormat="1" applyBorder="1" applyAlignment="1" quotePrefix="0" pivotButton="0">
      <alignment vertical="center" wrapText="1"/>
    </xf>
    <xf fontId="7" fillId="0" borderId="1" numFmtId="0" xfId="0" applyFont="1" applyBorder="1" quotePrefix="0" pivotButton="0"/>
    <xf fontId="0" fillId="0" borderId="1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4.25"/>
  <cols>
    <col customWidth="1" min="1" max="1" width="28"/>
    <col customWidth="1" min="2" max="2" width="24"/>
    <col customWidth="1" min="3" max="4" width="12"/>
    <col customWidth="1" min="5" max="5" width="10"/>
    <col customWidth="1" min="6" max="6" width="13"/>
    <col customWidth="1" min="7" max="7" width="12"/>
    <col customWidth="1" min="8" max="8" width="11"/>
    <col customWidth="1" min="9" max="11" width="14"/>
    <col customWidth="1" min="12" max="12" width="16"/>
    <col customWidth="1" min="13" max="13" width="14"/>
    <col customWidth="1" min="14" max="14" width="17"/>
    <col customWidth="1" min="15" max="15" width="12"/>
  </cols>
  <sheetData>
    <row r="1" ht="23.25">
      <c r="A1" s="1" t="s">
        <v>0</v>
      </c>
    </row>
    <row r="2">
      <c r="A2" s="2" t="s">
        <v>1</v>
      </c>
    </row>
    <row r="4" ht="28.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>
      <c r="A5" s="4" t="s">
        <v>17</v>
      </c>
      <c r="B5" s="4" t="s">
        <v>18</v>
      </c>
      <c r="C5" s="5">
        <v>96.129999999999995</v>
      </c>
      <c r="D5" s="6">
        <v>120</v>
      </c>
      <c r="E5" s="6">
        <v>120</v>
      </c>
      <c r="F5" s="7">
        <v>1</v>
      </c>
      <c r="G5" s="4">
        <v>1381</v>
      </c>
      <c r="H5" s="7">
        <v>0</v>
      </c>
      <c r="I5" s="8">
        <v>100</v>
      </c>
      <c r="J5" s="4">
        <v>8345</v>
      </c>
      <c r="K5" s="4">
        <v>61</v>
      </c>
      <c r="L5" s="6">
        <v>33</v>
      </c>
      <c r="M5" s="9">
        <v>88.120000000000005</v>
      </c>
      <c r="N5" s="4">
        <v>140.5</v>
      </c>
      <c r="O5" s="10">
        <v>1.9179999999999999</v>
      </c>
    </row>
    <row r="6">
      <c r="A6" s="11" t="s">
        <v>19</v>
      </c>
      <c r="B6" s="11" t="s">
        <v>20</v>
      </c>
      <c r="C6" s="8">
        <v>97.739999999999995</v>
      </c>
      <c r="D6" s="7">
        <v>70</v>
      </c>
      <c r="E6" s="7">
        <v>70</v>
      </c>
      <c r="F6" s="7">
        <v>1</v>
      </c>
      <c r="G6" s="7">
        <v>1312</v>
      </c>
      <c r="H6" s="11">
        <v>8</v>
      </c>
      <c r="I6" s="12">
        <v>95.430000000000007</v>
      </c>
      <c r="J6" s="6">
        <v>8375</v>
      </c>
      <c r="K6" s="6">
        <v>68</v>
      </c>
      <c r="L6" s="11">
        <v>25</v>
      </c>
      <c r="M6" s="5">
        <v>88.040000000000006</v>
      </c>
      <c r="N6" s="6">
        <v>141.5</v>
      </c>
      <c r="O6" s="13">
        <v>4.0949999999999998</v>
      </c>
    </row>
    <row r="7">
      <c r="A7" s="4" t="s">
        <v>21</v>
      </c>
      <c r="B7" s="4" t="s">
        <v>22</v>
      </c>
      <c r="C7" s="5">
        <v>96.129999999999995</v>
      </c>
      <c r="D7" s="6">
        <v>120</v>
      </c>
      <c r="E7" s="6">
        <v>120</v>
      </c>
      <c r="F7" s="7">
        <v>1</v>
      </c>
      <c r="G7" s="6">
        <v>1397</v>
      </c>
      <c r="H7" s="7">
        <v>0</v>
      </c>
      <c r="I7" s="8">
        <v>100</v>
      </c>
      <c r="J7" s="7">
        <v>8004</v>
      </c>
      <c r="K7" s="7">
        <v>7</v>
      </c>
      <c r="L7" s="7">
        <v>7</v>
      </c>
      <c r="M7" s="8">
        <v>92.219999999999999</v>
      </c>
      <c r="N7" s="7">
        <v>92</v>
      </c>
      <c r="O7" s="14">
        <v>2.7040000000000002</v>
      </c>
    </row>
    <row r="8">
      <c r="A8" s="11" t="s">
        <v>23</v>
      </c>
      <c r="B8" s="11" t="s">
        <v>24</v>
      </c>
      <c r="C8" s="12">
        <v>97.579999999999998</v>
      </c>
      <c r="D8" s="11">
        <v>75</v>
      </c>
      <c r="E8" s="11">
        <v>75</v>
      </c>
      <c r="F8" s="7">
        <v>1</v>
      </c>
      <c r="G8" s="11">
        <v>1315</v>
      </c>
      <c r="H8" s="6">
        <v>10</v>
      </c>
      <c r="I8" s="5">
        <v>94.290000000000006</v>
      </c>
      <c r="J8" s="11">
        <v>8037</v>
      </c>
      <c r="K8" s="11">
        <v>19</v>
      </c>
      <c r="L8" s="11">
        <v>15</v>
      </c>
      <c r="M8" s="12">
        <v>91.379999999999995</v>
      </c>
      <c r="N8" s="11">
        <v>102</v>
      </c>
      <c r="O8" s="15">
        <v>29.079000000000001</v>
      </c>
    </row>
  </sheetData>
  <mergeCells count="2">
    <mergeCell ref="A1:O1"/>
    <mergeCell ref="A2:O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24"/>
    <col customWidth="1" min="3" max="3" width="12"/>
    <col customWidth="1" min="4" max="5" width="14"/>
    <col customWidth="1" min="6" max="8" width="12"/>
    <col customWidth="1" min="9" max="9" width="10"/>
  </cols>
  <sheetData>
    <row r="1">
      <c r="A1" s="16" t="s">
        <v>25</v>
      </c>
    </row>
    <row r="3">
      <c r="A3" s="3" t="s">
        <v>2</v>
      </c>
      <c r="B3" s="3" t="s">
        <v>3</v>
      </c>
      <c r="C3" s="3" t="s">
        <v>4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5</v>
      </c>
      <c r="I3" s="3" t="s">
        <v>6</v>
      </c>
    </row>
    <row r="4">
      <c r="A4" s="11" t="s">
        <v>17</v>
      </c>
      <c r="B4" s="11" t="s">
        <v>18</v>
      </c>
      <c r="C4" s="12">
        <v>96.129999999999995</v>
      </c>
      <c r="D4" s="12">
        <v>95.510000000000005</v>
      </c>
      <c r="E4" s="12">
        <v>97.620000000000005</v>
      </c>
      <c r="F4" s="12">
        <v>99.859999999999999</v>
      </c>
      <c r="G4" s="12">
        <v>78.260000000000005</v>
      </c>
      <c r="H4" s="11">
        <v>120</v>
      </c>
      <c r="I4" s="11">
        <v>120</v>
      </c>
    </row>
    <row r="5">
      <c r="A5" s="4" t="s">
        <v>19</v>
      </c>
      <c r="B5" s="4" t="s">
        <v>20</v>
      </c>
      <c r="C5" s="9">
        <v>97.739999999999995</v>
      </c>
      <c r="D5" s="9">
        <v>100</v>
      </c>
      <c r="E5" s="9">
        <v>100</v>
      </c>
      <c r="F5" s="9">
        <v>100</v>
      </c>
      <c r="G5" s="9">
        <v>78.260000000000005</v>
      </c>
      <c r="H5" s="4">
        <v>70</v>
      </c>
      <c r="I5" s="4">
        <v>70</v>
      </c>
    </row>
    <row r="6">
      <c r="A6" s="11" t="s">
        <v>21</v>
      </c>
      <c r="B6" s="11" t="s">
        <v>22</v>
      </c>
      <c r="C6" s="12">
        <v>96.129999999999995</v>
      </c>
      <c r="D6" s="12">
        <v>95.510000000000005</v>
      </c>
      <c r="E6" s="12">
        <v>97.620000000000005</v>
      </c>
      <c r="F6" s="12">
        <v>99.859999999999999</v>
      </c>
      <c r="G6" s="12">
        <v>78.260000000000005</v>
      </c>
      <c r="H6" s="11">
        <v>120</v>
      </c>
      <c r="I6" s="11">
        <v>120</v>
      </c>
    </row>
    <row r="7">
      <c r="A7" s="4" t="s">
        <v>23</v>
      </c>
      <c r="B7" s="4" t="s">
        <v>24</v>
      </c>
      <c r="C7" s="9">
        <v>97.579999999999998</v>
      </c>
      <c r="D7" s="9">
        <v>100</v>
      </c>
      <c r="E7" s="9">
        <v>100</v>
      </c>
      <c r="F7" s="9">
        <v>99.640000000000001</v>
      </c>
      <c r="G7" s="9">
        <v>78.260000000000005</v>
      </c>
      <c r="H7" s="4">
        <v>75</v>
      </c>
      <c r="I7" s="4">
        <v>75</v>
      </c>
    </row>
    <row r="8">
      <c r="A8" s="11" t="s">
        <v>30</v>
      </c>
      <c r="B8" s="11" t="s">
        <v>31</v>
      </c>
      <c r="C8" s="12">
        <v>97.579999999999998</v>
      </c>
      <c r="D8" s="12">
        <v>100</v>
      </c>
      <c r="E8" s="12">
        <v>100</v>
      </c>
      <c r="F8" s="12">
        <v>99.640000000000001</v>
      </c>
      <c r="G8" s="12">
        <v>78.260000000000005</v>
      </c>
      <c r="H8" s="11">
        <v>75</v>
      </c>
      <c r="I8" s="11">
        <v>75</v>
      </c>
    </row>
    <row r="10">
      <c r="A10" s="17" t="s">
        <v>32</v>
      </c>
    </row>
    <row r="11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38</v>
      </c>
      <c r="G11" s="3" t="s">
        <v>39</v>
      </c>
    </row>
    <row r="12">
      <c r="A12" s="11" t="s">
        <v>40</v>
      </c>
      <c r="B12" s="11" t="s">
        <v>41</v>
      </c>
      <c r="C12" s="11" t="s">
        <v>42</v>
      </c>
      <c r="D12" s="11">
        <v>1</v>
      </c>
      <c r="E12" s="11" t="s">
        <v>43</v>
      </c>
      <c r="F12" s="11" t="s">
        <v>44</v>
      </c>
      <c r="G12" s="11" t="s">
        <v>45</v>
      </c>
    </row>
    <row r="13">
      <c r="A13" s="4" t="s">
        <v>46</v>
      </c>
      <c r="B13" s="4" t="s">
        <v>41</v>
      </c>
      <c r="C13" s="4" t="s">
        <v>42</v>
      </c>
      <c r="D13" s="4">
        <v>1</v>
      </c>
      <c r="E13" s="4" t="s">
        <v>43</v>
      </c>
      <c r="F13" s="4" t="s">
        <v>44</v>
      </c>
      <c r="G13" s="4" t="s">
        <v>45</v>
      </c>
    </row>
    <row r="14">
      <c r="A14" s="11" t="s">
        <v>47</v>
      </c>
      <c r="B14" s="11" t="s">
        <v>48</v>
      </c>
      <c r="C14" s="11" t="s">
        <v>49</v>
      </c>
      <c r="D14" s="11">
        <v>1</v>
      </c>
      <c r="E14" s="11" t="s">
        <v>50</v>
      </c>
      <c r="F14" s="11" t="s">
        <v>51</v>
      </c>
      <c r="G14" s="11" t="s">
        <v>52</v>
      </c>
    </row>
    <row r="15">
      <c r="A15" s="4" t="s">
        <v>47</v>
      </c>
      <c r="B15" s="4" t="s">
        <v>48</v>
      </c>
      <c r="C15" s="4" t="s">
        <v>53</v>
      </c>
      <c r="D15" s="4">
        <v>1</v>
      </c>
      <c r="E15" s="4" t="s">
        <v>54</v>
      </c>
      <c r="F15" s="4" t="s">
        <v>52</v>
      </c>
      <c r="G15" s="4" t="s">
        <v>45</v>
      </c>
    </row>
    <row r="16">
      <c r="A16" s="11" t="s">
        <v>55</v>
      </c>
      <c r="B16" s="11" t="s">
        <v>41</v>
      </c>
      <c r="C16" s="11" t="s">
        <v>42</v>
      </c>
      <c r="D16" s="11">
        <v>1</v>
      </c>
      <c r="E16" s="11" t="s">
        <v>43</v>
      </c>
      <c r="F16" s="11" t="s">
        <v>44</v>
      </c>
      <c r="G16" s="11" t="s">
        <v>45</v>
      </c>
    </row>
    <row r="19">
      <c r="A19" s="17" t="s">
        <v>56</v>
      </c>
    </row>
    <row r="20">
      <c r="A20" s="3" t="s">
        <v>33</v>
      </c>
      <c r="B20" s="3" t="s">
        <v>34</v>
      </c>
      <c r="C20" s="3" t="s">
        <v>35</v>
      </c>
      <c r="D20" s="3" t="s">
        <v>36</v>
      </c>
      <c r="E20" s="3" t="s">
        <v>37</v>
      </c>
      <c r="F20" s="3" t="s">
        <v>38</v>
      </c>
      <c r="G20" s="3" t="s">
        <v>39</v>
      </c>
    </row>
    <row r="21">
      <c r="A21" s="4" t="s">
        <v>57</v>
      </c>
      <c r="B21" s="4" t="s">
        <v>58</v>
      </c>
      <c r="C21" s="4" t="s">
        <v>59</v>
      </c>
      <c r="D21" s="4">
        <v>1</v>
      </c>
      <c r="E21" s="4" t="s">
        <v>60</v>
      </c>
      <c r="F21" s="4" t="s">
        <v>61</v>
      </c>
      <c r="G21" s="4" t="s">
        <v>62</v>
      </c>
    </row>
    <row r="22">
      <c r="A22" s="11" t="s">
        <v>63</v>
      </c>
      <c r="B22" s="11" t="s">
        <v>58</v>
      </c>
      <c r="C22" s="11" t="s">
        <v>59</v>
      </c>
      <c r="D22" s="11">
        <v>1</v>
      </c>
      <c r="E22" s="11" t="s">
        <v>60</v>
      </c>
      <c r="F22" s="11" t="s">
        <v>61</v>
      </c>
      <c r="G22" s="11" t="s">
        <v>62</v>
      </c>
    </row>
    <row r="23">
      <c r="A23" s="4" t="s">
        <v>64</v>
      </c>
      <c r="B23" s="4" t="s">
        <v>58</v>
      </c>
      <c r="C23" s="4" t="s">
        <v>59</v>
      </c>
      <c r="D23" s="4">
        <v>1</v>
      </c>
      <c r="E23" s="4" t="s">
        <v>60</v>
      </c>
      <c r="F23" s="4" t="s">
        <v>61</v>
      </c>
      <c r="G23" s="4" t="s">
        <v>62</v>
      </c>
    </row>
    <row r="24">
      <c r="A24" s="11" t="s">
        <v>65</v>
      </c>
      <c r="B24" s="11" t="s">
        <v>58</v>
      </c>
      <c r="C24" s="11" t="s">
        <v>59</v>
      </c>
      <c r="D24" s="11">
        <v>1</v>
      </c>
      <c r="E24" s="11" t="s">
        <v>60</v>
      </c>
      <c r="F24" s="11" t="s">
        <v>61</v>
      </c>
      <c r="G24" s="11" t="s">
        <v>62</v>
      </c>
    </row>
    <row r="25">
      <c r="A25" s="4" t="s">
        <v>66</v>
      </c>
      <c r="B25" s="4" t="s">
        <v>58</v>
      </c>
      <c r="C25" s="4" t="s">
        <v>59</v>
      </c>
      <c r="D25" s="4">
        <v>1</v>
      </c>
      <c r="E25" s="4" t="s">
        <v>60</v>
      </c>
      <c r="F25" s="4" t="s">
        <v>61</v>
      </c>
      <c r="G25" s="4" t="s">
        <v>62</v>
      </c>
    </row>
    <row r="28">
      <c r="A28" s="17" t="s">
        <v>67</v>
      </c>
    </row>
    <row r="29">
      <c r="A29" s="3" t="s">
        <v>33</v>
      </c>
      <c r="B29" s="3" t="s">
        <v>34</v>
      </c>
      <c r="C29" s="3" t="s">
        <v>35</v>
      </c>
      <c r="D29" s="3" t="s">
        <v>36</v>
      </c>
      <c r="E29" s="3" t="s">
        <v>37</v>
      </c>
      <c r="F29" s="3" t="s">
        <v>38</v>
      </c>
      <c r="G29" s="3" t="s">
        <v>39</v>
      </c>
    </row>
    <row r="30">
      <c r="A30" s="11" t="s">
        <v>40</v>
      </c>
      <c r="B30" s="11" t="s">
        <v>41</v>
      </c>
      <c r="C30" s="11" t="s">
        <v>42</v>
      </c>
      <c r="D30" s="11">
        <v>1</v>
      </c>
      <c r="E30" s="11" t="s">
        <v>43</v>
      </c>
      <c r="F30" s="11" t="s">
        <v>44</v>
      </c>
      <c r="G30" s="11" t="s">
        <v>45</v>
      </c>
    </row>
    <row r="31">
      <c r="A31" s="4" t="s">
        <v>46</v>
      </c>
      <c r="B31" s="4" t="s">
        <v>41</v>
      </c>
      <c r="C31" s="4" t="s">
        <v>42</v>
      </c>
      <c r="D31" s="4">
        <v>1</v>
      </c>
      <c r="E31" s="4" t="s">
        <v>43</v>
      </c>
      <c r="F31" s="4" t="s">
        <v>44</v>
      </c>
      <c r="G31" s="4" t="s">
        <v>45</v>
      </c>
    </row>
    <row r="32">
      <c r="A32" s="11" t="s">
        <v>47</v>
      </c>
      <c r="B32" s="11" t="s">
        <v>48</v>
      </c>
      <c r="C32" s="11" t="s">
        <v>49</v>
      </c>
      <c r="D32" s="11">
        <v>1</v>
      </c>
      <c r="E32" s="11" t="s">
        <v>50</v>
      </c>
      <c r="F32" s="11" t="s">
        <v>51</v>
      </c>
      <c r="G32" s="11" t="s">
        <v>52</v>
      </c>
    </row>
    <row r="33">
      <c r="A33" s="4" t="s">
        <v>47</v>
      </c>
      <c r="B33" s="4" t="s">
        <v>48</v>
      </c>
      <c r="C33" s="4" t="s">
        <v>53</v>
      </c>
      <c r="D33" s="4">
        <v>1</v>
      </c>
      <c r="E33" s="4" t="s">
        <v>54</v>
      </c>
      <c r="F33" s="4" t="s">
        <v>52</v>
      </c>
      <c r="G33" s="4" t="s">
        <v>45</v>
      </c>
    </row>
    <row r="34">
      <c r="A34" s="11" t="s">
        <v>55</v>
      </c>
      <c r="B34" s="11" t="s">
        <v>41</v>
      </c>
      <c r="C34" s="11" t="s">
        <v>42</v>
      </c>
      <c r="D34" s="11">
        <v>1</v>
      </c>
      <c r="E34" s="11" t="s">
        <v>43</v>
      </c>
      <c r="F34" s="11" t="s">
        <v>44</v>
      </c>
      <c r="G34" s="11" t="s">
        <v>45</v>
      </c>
    </row>
    <row r="37">
      <c r="A37" s="17" t="s">
        <v>68</v>
      </c>
    </row>
    <row r="38">
      <c r="A38" s="3" t="s">
        <v>33</v>
      </c>
      <c r="B38" s="3" t="s">
        <v>34</v>
      </c>
      <c r="C38" s="3" t="s">
        <v>35</v>
      </c>
      <c r="D38" s="3" t="s">
        <v>36</v>
      </c>
      <c r="E38" s="3" t="s">
        <v>37</v>
      </c>
      <c r="F38" s="3" t="s">
        <v>38</v>
      </c>
      <c r="G38" s="3" t="s">
        <v>39</v>
      </c>
    </row>
    <row r="39">
      <c r="A39" s="4" t="s">
        <v>69</v>
      </c>
      <c r="B39" s="4" t="s">
        <v>70</v>
      </c>
      <c r="C39" s="4" t="s">
        <v>71</v>
      </c>
      <c r="D39" s="4">
        <v>1</v>
      </c>
      <c r="E39" s="4" t="s">
        <v>72</v>
      </c>
      <c r="F39" s="4" t="s">
        <v>73</v>
      </c>
      <c r="G39" s="4" t="s">
        <v>74</v>
      </c>
    </row>
    <row r="40">
      <c r="A40" s="11" t="s">
        <v>75</v>
      </c>
      <c r="B40" s="11" t="s">
        <v>70</v>
      </c>
      <c r="C40" s="11" t="s">
        <v>76</v>
      </c>
      <c r="D40" s="11">
        <v>1</v>
      </c>
      <c r="E40" s="11" t="s">
        <v>77</v>
      </c>
      <c r="F40" s="11" t="s">
        <v>52</v>
      </c>
      <c r="G40" s="11" t="s">
        <v>78</v>
      </c>
    </row>
    <row r="41">
      <c r="A41" s="4" t="s">
        <v>75</v>
      </c>
      <c r="B41" s="4" t="s">
        <v>70</v>
      </c>
      <c r="C41" s="4" t="s">
        <v>79</v>
      </c>
      <c r="D41" s="4">
        <v>1</v>
      </c>
      <c r="E41" s="4" t="s">
        <v>80</v>
      </c>
      <c r="F41" s="4" t="s">
        <v>78</v>
      </c>
      <c r="G41" s="4" t="s">
        <v>73</v>
      </c>
    </row>
    <row r="42">
      <c r="A42" s="11" t="s">
        <v>75</v>
      </c>
      <c r="B42" s="11" t="s">
        <v>70</v>
      </c>
      <c r="C42" s="11" t="s">
        <v>71</v>
      </c>
      <c r="D42" s="11">
        <v>1</v>
      </c>
      <c r="E42" s="11" t="s">
        <v>72</v>
      </c>
      <c r="F42" s="11" t="s">
        <v>73</v>
      </c>
      <c r="G42" s="11" t="s">
        <v>74</v>
      </c>
    </row>
    <row r="43">
      <c r="A43" s="4" t="s">
        <v>57</v>
      </c>
      <c r="B43" s="4" t="s">
        <v>58</v>
      </c>
      <c r="C43" s="4" t="s">
        <v>59</v>
      </c>
      <c r="D43" s="4">
        <v>1</v>
      </c>
      <c r="E43" s="4" t="s">
        <v>60</v>
      </c>
      <c r="F43" s="4" t="s">
        <v>61</v>
      </c>
      <c r="G43" s="4" t="s">
        <v>62</v>
      </c>
    </row>
    <row r="46">
      <c r="A46" s="17" t="s">
        <v>81</v>
      </c>
    </row>
    <row r="47">
      <c r="A47" s="3" t="s">
        <v>33</v>
      </c>
      <c r="B47" s="3" t="s">
        <v>34</v>
      </c>
      <c r="C47" s="3" t="s">
        <v>35</v>
      </c>
      <c r="D47" s="3" t="s">
        <v>36</v>
      </c>
      <c r="E47" s="3" t="s">
        <v>37</v>
      </c>
      <c r="F47" s="3" t="s">
        <v>38</v>
      </c>
      <c r="G47" s="3" t="s">
        <v>39</v>
      </c>
    </row>
    <row r="48">
      <c r="A48" s="11" t="s">
        <v>55</v>
      </c>
      <c r="B48" s="11" t="s">
        <v>70</v>
      </c>
      <c r="C48" s="11" t="s">
        <v>76</v>
      </c>
      <c r="D48" s="11">
        <v>1</v>
      </c>
      <c r="E48" s="11" t="s">
        <v>77</v>
      </c>
      <c r="F48" s="11" t="s">
        <v>52</v>
      </c>
      <c r="G48" s="11" t="s">
        <v>78</v>
      </c>
    </row>
    <row r="49">
      <c r="A49" s="4" t="s">
        <v>75</v>
      </c>
      <c r="B49" s="4" t="s">
        <v>70</v>
      </c>
      <c r="C49" s="4" t="s">
        <v>76</v>
      </c>
      <c r="D49" s="4">
        <v>1</v>
      </c>
      <c r="E49" s="4" t="s">
        <v>77</v>
      </c>
      <c r="F49" s="4" t="s">
        <v>52</v>
      </c>
      <c r="G49" s="4" t="s">
        <v>78</v>
      </c>
    </row>
    <row r="50">
      <c r="A50" s="11" t="s">
        <v>75</v>
      </c>
      <c r="B50" s="11" t="s">
        <v>70</v>
      </c>
      <c r="C50" s="11" t="s">
        <v>71</v>
      </c>
      <c r="D50" s="11">
        <v>1</v>
      </c>
      <c r="E50" s="11" t="s">
        <v>72</v>
      </c>
      <c r="F50" s="11" t="s">
        <v>73</v>
      </c>
      <c r="G50" s="11" t="s">
        <v>74</v>
      </c>
    </row>
    <row r="51">
      <c r="A51" s="4" t="s">
        <v>57</v>
      </c>
      <c r="B51" s="4" t="s">
        <v>58</v>
      </c>
      <c r="C51" s="4" t="s">
        <v>59</v>
      </c>
      <c r="D51" s="4">
        <v>1</v>
      </c>
      <c r="E51" s="4" t="s">
        <v>60</v>
      </c>
      <c r="F51" s="4" t="s">
        <v>61</v>
      </c>
      <c r="G51" s="4" t="s">
        <v>62</v>
      </c>
    </row>
    <row r="52">
      <c r="A52" s="11" t="s">
        <v>63</v>
      </c>
      <c r="B52" s="11" t="s">
        <v>58</v>
      </c>
      <c r="C52" s="11" t="s">
        <v>59</v>
      </c>
      <c r="D52" s="11">
        <v>1</v>
      </c>
      <c r="E52" s="11" t="s">
        <v>60</v>
      </c>
      <c r="F52" s="11" t="s">
        <v>61</v>
      </c>
      <c r="G52" s="11" t="s">
        <v>62</v>
      </c>
    </row>
  </sheetData>
  <mergeCells count="6">
    <mergeCell ref="A46:G46"/>
    <mergeCell ref="A1:I1"/>
    <mergeCell ref="A19:G19"/>
    <mergeCell ref="A10:G10"/>
    <mergeCell ref="A28:G28"/>
    <mergeCell ref="A37:G37"/>
  </mergeCells>
  <conditionalFormatting sqref="C4:G8">
    <cfRule type="colorScale" priority="1">
      <colorScale>
        <cfvo type="min"/>
        <cfvo type="percentile" val="50"/>
        <cfvo type="max"/>
        <color rgb="FFFCEAEA"/>
        <color rgb="FFFFF6E0"/>
        <color rgb="FFEAF7F0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3" topLeftCell="A4" activePane="bottomLeft" state="frozen"/>
      <selection activeCell="A1" activeCellId="0" sqref="A1"/>
    </sheetView>
  </sheetViews>
  <sheetFormatPr baseColWidth="8" defaultRowHeight="15"/>
  <cols>
    <col customWidth="1" min="1" max="1" width="30"/>
    <col customWidth="1" min="2" max="2" width="24"/>
    <col customWidth="1" min="3" max="3" width="14"/>
    <col customWidth="1" min="4" max="4" width="12"/>
    <col customWidth="1" min="5" max="5" width="16"/>
    <col customWidth="1" min="6" max="6" width="14"/>
    <col customWidth="1" min="7" max="7" width="19"/>
    <col customWidth="1" min="8" max="8" width="12"/>
    <col customWidth="1" min="9" max="9" width="16"/>
    <col customWidth="1" min="10" max="10" width="13"/>
    <col customWidth="1" min="11" max="11" width="18"/>
  </cols>
  <sheetData>
    <row r="1">
      <c r="A1" s="16" t="s">
        <v>82</v>
      </c>
    </row>
    <row r="3">
      <c r="A3" s="3" t="s">
        <v>2</v>
      </c>
      <c r="B3" s="3" t="s">
        <v>3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9</v>
      </c>
      <c r="I3" s="3" t="s">
        <v>10</v>
      </c>
      <c r="J3" s="3" t="s">
        <v>83</v>
      </c>
      <c r="K3" s="3" t="s">
        <v>84</v>
      </c>
    </row>
    <row r="4">
      <c r="A4" s="11" t="s">
        <v>17</v>
      </c>
      <c r="B4" s="11" t="s">
        <v>18</v>
      </c>
      <c r="C4" s="11">
        <v>8345</v>
      </c>
      <c r="D4" s="11">
        <v>61</v>
      </c>
      <c r="E4" s="11">
        <v>33</v>
      </c>
      <c r="F4" s="12">
        <v>88.120000000000005</v>
      </c>
      <c r="G4" s="11">
        <v>140.5</v>
      </c>
      <c r="H4" s="11">
        <v>0</v>
      </c>
      <c r="I4" s="12">
        <v>100</v>
      </c>
      <c r="J4" s="12">
        <v>100</v>
      </c>
      <c r="K4" s="12">
        <v>100</v>
      </c>
    </row>
    <row r="5">
      <c r="A5" s="4" t="s">
        <v>19</v>
      </c>
      <c r="B5" s="4" t="s">
        <v>20</v>
      </c>
      <c r="C5" s="4">
        <v>8375</v>
      </c>
      <c r="D5" s="4">
        <v>68</v>
      </c>
      <c r="E5" s="4">
        <v>25</v>
      </c>
      <c r="F5" s="9">
        <v>88.040000000000006</v>
      </c>
      <c r="G5" s="4">
        <v>141.5</v>
      </c>
      <c r="H5" s="4">
        <v>8</v>
      </c>
      <c r="I5" s="9">
        <v>95.430000000000007</v>
      </c>
      <c r="J5" s="9">
        <v>96.560000000000002</v>
      </c>
      <c r="K5" s="9">
        <v>96.599999999999994</v>
      </c>
    </row>
    <row r="6">
      <c r="A6" s="11" t="s">
        <v>21</v>
      </c>
      <c r="B6" s="11" t="s">
        <v>22</v>
      </c>
      <c r="C6" s="11">
        <v>8004</v>
      </c>
      <c r="D6" s="11">
        <v>7</v>
      </c>
      <c r="E6" s="11">
        <v>7</v>
      </c>
      <c r="F6" s="12">
        <v>92.219999999999999</v>
      </c>
      <c r="G6" s="11">
        <v>92</v>
      </c>
      <c r="H6" s="11">
        <v>0</v>
      </c>
      <c r="I6" s="12">
        <v>100</v>
      </c>
      <c r="J6" s="12">
        <v>100</v>
      </c>
      <c r="K6" s="12">
        <v>100</v>
      </c>
    </row>
    <row r="7">
      <c r="A7" s="4" t="s">
        <v>23</v>
      </c>
      <c r="B7" s="4" t="s">
        <v>24</v>
      </c>
      <c r="C7" s="4">
        <v>8037</v>
      </c>
      <c r="D7" s="4">
        <v>19</v>
      </c>
      <c r="E7" s="4">
        <v>15</v>
      </c>
      <c r="F7" s="9">
        <v>91.379999999999995</v>
      </c>
      <c r="G7" s="4">
        <v>102</v>
      </c>
      <c r="H7" s="4">
        <v>10</v>
      </c>
      <c r="I7" s="9">
        <v>94.290000000000006</v>
      </c>
      <c r="J7" s="9">
        <v>95.700000000000003</v>
      </c>
      <c r="K7" s="9">
        <v>95.739999999999995</v>
      </c>
    </row>
    <row r="8">
      <c r="A8" s="11" t="s">
        <v>30</v>
      </c>
      <c r="B8" s="11" t="s">
        <v>31</v>
      </c>
      <c r="C8" s="11">
        <v>8032</v>
      </c>
      <c r="D8" s="11">
        <v>14</v>
      </c>
      <c r="E8" s="11">
        <v>13</v>
      </c>
      <c r="F8" s="12">
        <v>91.379999999999995</v>
      </c>
      <c r="G8" s="11">
        <v>102</v>
      </c>
      <c r="H8" s="11">
        <v>10</v>
      </c>
      <c r="I8" s="12">
        <v>94.290000000000006</v>
      </c>
      <c r="J8" s="12">
        <v>95.700000000000003</v>
      </c>
      <c r="K8" s="12">
        <v>95.739999999999995</v>
      </c>
    </row>
    <row r="10">
      <c r="A10" s="18" t="s">
        <v>85</v>
      </c>
    </row>
    <row r="11">
      <c r="A11" s="3" t="s">
        <v>2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  <c r="K11" s="3" t="s">
        <v>95</v>
      </c>
    </row>
    <row r="12">
      <c r="A12" s="11" t="s">
        <v>19</v>
      </c>
      <c r="B12" s="19">
        <v>1.609999999999999</v>
      </c>
      <c r="C12" s="20">
        <v>-50</v>
      </c>
      <c r="D12" s="20">
        <v>30</v>
      </c>
      <c r="E12" s="20">
        <v>7</v>
      </c>
      <c r="F12" s="20">
        <v>1</v>
      </c>
      <c r="G12" s="20">
        <v>8</v>
      </c>
      <c r="H12" s="19">
        <v>-0.079999999999998295</v>
      </c>
      <c r="I12" s="19">
        <v>-3.4399999999999982</v>
      </c>
      <c r="J12" s="19">
        <v>-3.4000000000000061</v>
      </c>
      <c r="K12" s="20">
        <v>2.177452564239502</v>
      </c>
    </row>
    <row r="13">
      <c r="A13" s="4" t="s">
        <v>21</v>
      </c>
      <c r="B13" s="21">
        <v>0</v>
      </c>
      <c r="C13" s="22">
        <v>0</v>
      </c>
      <c r="D13" s="22">
        <v>-341</v>
      </c>
      <c r="E13" s="22">
        <v>-54</v>
      </c>
      <c r="F13" s="22">
        <v>-48.5</v>
      </c>
      <c r="G13" s="22">
        <v>0</v>
      </c>
      <c r="H13" s="21">
        <v>4.0999999999999943</v>
      </c>
      <c r="I13" s="21">
        <v>0</v>
      </c>
      <c r="J13" s="21">
        <v>0</v>
      </c>
      <c r="K13" s="22">
        <v>0.78585982322692871</v>
      </c>
    </row>
    <row r="14">
      <c r="A14" s="11" t="s">
        <v>23</v>
      </c>
      <c r="B14" s="19">
        <v>1.4500000000000031</v>
      </c>
      <c r="C14" s="20">
        <v>-45</v>
      </c>
      <c r="D14" s="20">
        <v>-308</v>
      </c>
      <c r="E14" s="20">
        <v>-42</v>
      </c>
      <c r="F14" s="20">
        <v>-38.5</v>
      </c>
      <c r="G14" s="20">
        <v>10</v>
      </c>
      <c r="H14" s="19">
        <v>3.2599999999999909</v>
      </c>
      <c r="I14" s="19">
        <v>-4.2999999999999972</v>
      </c>
      <c r="J14" s="19">
        <v>-4.2600000000000051</v>
      </c>
      <c r="K14" s="20">
        <v>27.161586761474609</v>
      </c>
    </row>
    <row r="15">
      <c r="A15" s="4" t="s">
        <v>30</v>
      </c>
      <c r="B15" s="21">
        <v>1.4500000000000031</v>
      </c>
      <c r="C15" s="22">
        <v>-45</v>
      </c>
      <c r="D15" s="22">
        <v>-313</v>
      </c>
      <c r="E15" s="22">
        <v>-47</v>
      </c>
      <c r="F15" s="22">
        <v>-38.5</v>
      </c>
      <c r="G15" s="22">
        <v>10</v>
      </c>
      <c r="H15" s="21">
        <v>3.2599999999999909</v>
      </c>
      <c r="I15" s="21">
        <v>-4.2999999999999972</v>
      </c>
      <c r="J15" s="21">
        <v>-4.2600000000000051</v>
      </c>
      <c r="K15" s="22">
        <v>24.770656824111938</v>
      </c>
    </row>
  </sheetData>
  <mergeCells count="2">
    <mergeCell ref="A1:K1"/>
    <mergeCell ref="A10:K10"/>
  </mergeCells>
  <conditionalFormatting sqref="C4:K8">
    <cfRule type="colorScale" priority="1">
      <colorScale>
        <cfvo type="min"/>
        <cfvo type="percentile" val="50"/>
        <cfvo type="max"/>
        <color rgb="FFEAF7F0"/>
        <color rgb="FFFFF6E0"/>
        <color rgb="FFFCEAEA"/>
      </colorScale>
    </cfRule>
  </conditionalFormatting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1" width="32"/>
    <col customWidth="1" min="2" max="2" width="26"/>
    <col customWidth="1" min="3" max="3" width="58"/>
    <col customWidth="1" min="4" max="4" width="24"/>
    <col customWidth="1" min="5" max="5" width="40"/>
    <col customWidth="1" min="6" max="6" width="62"/>
  </cols>
  <sheetData>
    <row r="1">
      <c r="A1" s="16" t="s">
        <v>96</v>
      </c>
    </row>
    <row r="3">
      <c r="A3" s="3" t="s">
        <v>2</v>
      </c>
      <c r="B3" s="3" t="s">
        <v>97</v>
      </c>
      <c r="C3" s="3" t="s">
        <v>98</v>
      </c>
      <c r="D3" s="3" t="s">
        <v>99</v>
      </c>
      <c r="E3" s="3" t="s">
        <v>100</v>
      </c>
      <c r="F3" s="3" t="s">
        <v>101</v>
      </c>
    </row>
    <row r="4">
      <c r="A4" s="11" t="s">
        <v>17</v>
      </c>
      <c r="B4" s="11" t="s">
        <v>18</v>
      </c>
      <c r="C4" s="11" t="s">
        <v>102</v>
      </c>
      <c r="D4" s="11" t="s">
        <v>103</v>
      </c>
      <c r="E4" s="11" t="s">
        <v>104</v>
      </c>
      <c r="F4" s="11" t="s">
        <v>105</v>
      </c>
    </row>
    <row r="5">
      <c r="A5" s="4" t="s">
        <v>19</v>
      </c>
      <c r="B5" s="4" t="s">
        <v>20</v>
      </c>
      <c r="C5" s="4" t="s">
        <v>106</v>
      </c>
      <c r="D5" s="4" t="s">
        <v>107</v>
      </c>
      <c r="E5" s="4" t="s">
        <v>108</v>
      </c>
      <c r="F5" s="4" t="s">
        <v>109</v>
      </c>
    </row>
    <row r="6">
      <c r="A6" s="11" t="s">
        <v>21</v>
      </c>
      <c r="B6" s="11" t="s">
        <v>22</v>
      </c>
      <c r="C6" s="11" t="s">
        <v>110</v>
      </c>
      <c r="D6" s="11" t="s">
        <v>111</v>
      </c>
      <c r="E6" s="11" t="s">
        <v>112</v>
      </c>
      <c r="F6" s="11" t="s">
        <v>113</v>
      </c>
    </row>
    <row r="7">
      <c r="A7" s="4" t="s">
        <v>23</v>
      </c>
      <c r="B7" s="4" t="s">
        <v>24</v>
      </c>
      <c r="C7" s="4" t="s">
        <v>114</v>
      </c>
      <c r="D7" s="4" t="s">
        <v>115</v>
      </c>
      <c r="E7" s="4" t="s">
        <v>116</v>
      </c>
      <c r="F7" s="4" t="s">
        <v>117</v>
      </c>
    </row>
    <row r="8">
      <c r="A8" s="11" t="s">
        <v>30</v>
      </c>
      <c r="B8" s="11" t="s">
        <v>31</v>
      </c>
      <c r="C8" s="11" t="s">
        <v>118</v>
      </c>
      <c r="D8" s="11" t="s">
        <v>119</v>
      </c>
      <c r="E8" s="11" t="s">
        <v>120</v>
      </c>
      <c r="F8" s="11" t="s">
        <v>121</v>
      </c>
    </row>
    <row r="11">
      <c r="A11" s="18" t="s">
        <v>122</v>
      </c>
    </row>
    <row r="12">
      <c r="A12" s="23" t="s">
        <v>123</v>
      </c>
      <c r="B12" s="24" t="s">
        <v>19</v>
      </c>
    </row>
    <row r="13">
      <c r="A13" s="23" t="s">
        <v>124</v>
      </c>
      <c r="B13" s="24" t="s">
        <v>21</v>
      </c>
    </row>
    <row r="14">
      <c r="A14" s="23" t="s">
        <v>125</v>
      </c>
      <c r="B14" s="24" t="s">
        <v>126</v>
      </c>
    </row>
    <row r="15">
      <c r="A15" s="23" t="s">
        <v>127</v>
      </c>
      <c r="B15" s="24" t="s">
        <v>17</v>
      </c>
    </row>
  </sheetData>
  <mergeCells count="2">
    <mergeCell ref="A11:F11"/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2026-04-20T11:31:40Z</dcterms:created>
  <dcterms:modified xsi:type="dcterms:W3CDTF">2026-04-20T11:33:59Z</dcterms:modified>
</cp:coreProperties>
</file>